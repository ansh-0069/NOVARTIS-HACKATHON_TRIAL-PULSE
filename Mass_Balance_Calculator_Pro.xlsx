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ta Entry" sheetId="1" r:id="rId1"/>
    <sheet name="Calculations" sheetId="2" r:id="rId2"/>
    <sheet name="Diagnostic Report" sheetId="3" r:id="rId3"/>
    <sheet name="Trend Tracking" sheetId="4" r:id="rId4"/>
  </sheets>
  <calcPr calcId="124519" fullCalcOnLoad="1"/>
</workbook>
</file>

<file path=xl/sharedStrings.xml><?xml version="1.0" encoding="utf-8"?>
<sst xmlns="http://schemas.openxmlformats.org/spreadsheetml/2006/main" count="54" uniqueCount="50">
  <si>
    <t>Mass Balance Calculator - ICH Q1A(R2) Compliant</t>
  </si>
  <si>
    <t>Initial API Assay (%)</t>
  </si>
  <si>
    <t>Stressed API Assay (%)</t>
  </si>
  <si>
    <t>Initial Degradants (%)</t>
  </si>
  <si>
    <t>Stressed Degradants (%)</t>
  </si>
  <si>
    <t>Parent MW (g/mol)</t>
  </si>
  <si>
    <t>Degradant MW (g/mol)</t>
  </si>
  <si>
    <t>RRF (Relative Response Factor)</t>
  </si>
  <si>
    <t>Stress Condition</t>
  </si>
  <si>
    <t>Base</t>
  </si>
  <si>
    <t>Sample ID</t>
  </si>
  <si>
    <t>VAL-2026-001</t>
  </si>
  <si>
    <t>Analyst Name</t>
  </si>
  <si>
    <t>A. Singla</t>
  </si>
  <si>
    <t>INSTRUCTIONS:
1. Enter your experimental data in the YELLOW cells.
2. I've put in some default values just for testing.
3. Once you're done, check the 'Diagnostic Report' tab for the analysis.
4. 'Trend Tracking' is there if you're doing a stability study.</t>
  </si>
  <si>
    <t>GO TO REPORT &gt;&gt;</t>
  </si>
  <si>
    <t>'Diagnostic Report'!A1</t>
  </si>
  <si>
    <t>PARAMETER</t>
  </si>
  <si>
    <t>VALUE</t>
  </si>
  <si>
    <t>Delta API</t>
  </si>
  <si>
    <t>Delta Deg</t>
  </si>
  <si>
    <t>Lambda (RRF Corr)</t>
  </si>
  <si>
    <t>Omega (MW Corr)</t>
  </si>
  <si>
    <t>Corrected Deg</t>
  </si>
  <si>
    <t>SMB Result</t>
  </si>
  <si>
    <t>AMB Result</t>
  </si>
  <si>
    <t>RMB Result</t>
  </si>
  <si>
    <t>LK-IMB Result</t>
  </si>
  <si>
    <t>Rec. Method</t>
  </si>
  <si>
    <t>Rec. Value</t>
  </si>
  <si>
    <t>Status</t>
  </si>
  <si>
    <t>MASS BALANCE DIAGNOSTIC REPORT</t>
  </si>
  <si>
    <t>Date:</t>
  </si>
  <si>
    <t>Sample ID:</t>
  </si>
  <si>
    <t>Method</t>
  </si>
  <si>
    <t>Result (%)</t>
  </si>
  <si>
    <t>Correction</t>
  </si>
  <si>
    <t>SMB (Uncorrected)</t>
  </si>
  <si>
    <t>None</t>
  </si>
  <si>
    <t>AMB (Absolute)</t>
  </si>
  <si>
    <t>Purity Norm.</t>
  </si>
  <si>
    <t>LK-IMB (Proposed)</t>
  </si>
  <si>
    <t>Stoich + RRF</t>
  </si>
  <si>
    <t>FINAL STATUS</t>
  </si>
  <si>
    <t>DIAGNOSTIC</t>
  </si>
  <si>
    <t>Day</t>
  </si>
  <si>
    <t>SMB</t>
  </si>
  <si>
    <t>AMB</t>
  </si>
  <si>
    <t>LK-IMB</t>
  </si>
  <si>
    <t>PASS</t>
  </si>
</sst>
</file>

<file path=xl/styles.xml><?xml version="1.0" encoding="utf-8"?>
<styleSheet xmlns="http://schemas.openxmlformats.org/spreadsheetml/2006/main">
  <numFmts count="3">
    <numFmt numFmtId="164" formatCode="0.00"/>
    <numFmt numFmtId="165" formatCode="yyyy-mm-dd"/>
    <numFmt numFmtId="166" formatCode="0.0"/>
  </numFmts>
  <fonts count="7">
    <font>
      <sz val="11"/>
      <color theme="1"/>
      <name val="Calibri"/>
      <family val="2"/>
      <scheme val="minor"/>
    </font>
    <font>
      <b/>
      <sz val="12"/>
      <color rgb="FFFFFFFF"/>
      <name val="Calibri"/>
      <family val="2"/>
      <scheme val="minor"/>
    </font>
    <font>
      <b/>
      <sz val="11"/>
      <color theme="1"/>
      <name val="Calibri"/>
      <family val="2"/>
      <scheme val="minor"/>
    </font>
    <font>
      <u/>
      <sz val="11"/>
      <color theme="10"/>
      <name val="Calibri"/>
      <family val="2"/>
    </font>
    <font>
      <b/>
      <sz val="11"/>
      <color rgb="FFFFFFFF"/>
      <name val="Calibri"/>
      <family val="2"/>
      <scheme val="minor"/>
    </font>
    <font>
      <sz val="11"/>
      <color rgb="FF808080"/>
      <name val="Calibri"/>
      <family val="2"/>
      <scheme val="minor"/>
    </font>
    <font>
      <b/>
      <sz val="14"/>
      <color theme="1"/>
      <name val="Calibri"/>
      <family val="2"/>
      <scheme val="minor"/>
    </font>
  </fonts>
  <fills count="6">
    <fill>
      <patternFill patternType="none"/>
    </fill>
    <fill>
      <patternFill patternType="gray125"/>
    </fill>
    <fill>
      <patternFill patternType="solid">
        <fgColor rgb="FF1F4E78"/>
        <bgColor indexed="64"/>
      </patternFill>
    </fill>
    <fill>
      <patternFill patternType="solid">
        <fgColor rgb="FFFFF2CC"/>
        <bgColor indexed="64"/>
      </patternFill>
    </fill>
    <fill>
      <patternFill patternType="solid">
        <fgColor rgb="FF4472C4"/>
        <bgColor indexed="64"/>
      </patternFill>
    </fill>
    <fill>
      <patternFill patternType="solid">
        <fgColor rgb="FFE2EFDA"/>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3" fillId="0" borderId="0" applyNumberFormat="0" applyFill="0" applyBorder="0" applyAlignment="0" applyProtection="0">
      <alignment vertical="top"/>
      <protection locked="0"/>
    </xf>
  </cellStyleXfs>
  <cellXfs count="19">
    <xf numFmtId="0" fontId="0" fillId="0" borderId="0" xfId="0"/>
    <xf numFmtId="0" fontId="1" fillId="2" borderId="1" xfId="0" applyFont="1" applyFill="1" applyBorder="1" applyAlignment="1">
      <alignment horizontal="center" vertical="center"/>
    </xf>
    <xf numFmtId="0" fontId="2" fillId="0" borderId="0" xfId="0" applyFont="1" applyAlignment="1">
      <alignment horizontal="right" vertical="center"/>
    </xf>
    <xf numFmtId="164" fontId="0" fillId="3" borderId="1" xfId="0" applyNumberFormat="1" applyFill="1" applyBorder="1" applyAlignment="1">
      <alignment horizontal="center"/>
    </xf>
    <xf numFmtId="0" fontId="0" fillId="0" borderId="1" xfId="0" applyBorder="1" applyAlignment="1">
      <alignment vertical="top" wrapText="1"/>
    </xf>
    <xf numFmtId="0" fontId="0" fillId="3" borderId="1" xfId="0" applyFill="1" applyBorder="1" applyAlignment="1">
      <alignment horizontal="center"/>
    </xf>
    <xf numFmtId="0" fontId="3" fillId="0" borderId="0" xfId="1" applyAlignment="1" applyProtection="1"/>
    <xf numFmtId="0" fontId="4" fillId="4" borderId="0" xfId="0" applyFont="1" applyFill="1" applyAlignment="1">
      <alignment horizontal="center" vertical="center"/>
    </xf>
    <xf numFmtId="165" fontId="0" fillId="0" borderId="0" xfId="0" applyNumberFormat="1" applyAlignment="1">
      <alignment horizontal="left"/>
    </xf>
    <xf numFmtId="0" fontId="0" fillId="0" borderId="0" xfId="0" applyAlignment="1">
      <alignment horizontal="left"/>
    </xf>
    <xf numFmtId="0" fontId="0" fillId="0" borderId="1" xfId="0" applyBorder="1"/>
    <xf numFmtId="166" fontId="0" fillId="0" borderId="1" xfId="0" applyNumberFormat="1" applyBorder="1" applyAlignment="1">
      <alignment horizontal="center"/>
    </xf>
    <xf numFmtId="0" fontId="5" fillId="0" borderId="1" xfId="0" applyFont="1" applyBorder="1" applyAlignment="1">
      <alignment horizontal="center"/>
    </xf>
    <xf numFmtId="0" fontId="0" fillId="0" borderId="1" xfId="0" applyBorder="1" applyAlignment="1">
      <alignment horizontal="center"/>
    </xf>
    <xf numFmtId="0" fontId="2" fillId="5" borderId="1" xfId="0" applyFont="1" applyFill="1" applyBorder="1"/>
    <xf numFmtId="166" fontId="2" fillId="5" borderId="1" xfId="0" applyNumberFormat="1" applyFont="1" applyFill="1" applyBorder="1" applyAlignment="1">
      <alignment horizontal="center"/>
    </xf>
    <xf numFmtId="0" fontId="0" fillId="5" borderId="1" xfId="0" applyFill="1" applyBorder="1" applyAlignment="1">
      <alignment horizontal="center"/>
    </xf>
    <xf numFmtId="0" fontId="6" fillId="0" borderId="1" xfId="0" applyFont="1" applyBorder="1" applyAlignment="1">
      <alignment horizontal="center" vertical="center"/>
    </xf>
    <xf numFmtId="166" fontId="0" fillId="0" borderId="0" xfId="0" applyNumberFormat="1" applyAlignment="1">
      <alignment horizontal="center"/>
    </xf>
  </cellXfs>
  <cellStyles count="2">
    <cellStyle name="Hyperlink" xfId="1" builtinId="8"/>
    <cellStyle name="Normal" xfId="0" builtinId="0"/>
  </cellStyles>
  <dxfs count="3">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Mass Balance Stability Trend</a:t>
            </a:r>
          </a:p>
        </c:rich>
      </c:tx>
      <c:layout/>
    </c:title>
    <c:plotArea>
      <c:layout/>
      <c:lineChart>
        <c:grouping val="standard"/>
        <c:ser>
          <c:idx val="0"/>
          <c:order val="0"/>
          <c:tx>
            <c:v>SMB</c:v>
          </c:tx>
          <c:spPr>
            <a:ln>
              <a:solidFill>
                <a:srgbClr val="FF0000"/>
              </a:solidFill>
              <a:prstDash val="dash"/>
            </a:ln>
          </c:spPr>
          <c:marker>
            <c:symbol val="none"/>
          </c:marker>
          <c:cat>
            <c:numRef>
              <c:f>'Trend Tracking'!$A$2:$A$5</c:f>
              <c:numCache>
                <c:formatCode>General</c:formatCode>
                <c:ptCount val="4"/>
                <c:pt idx="0">
                  <c:v>0</c:v>
                </c:pt>
                <c:pt idx="1">
                  <c:v>7</c:v>
                </c:pt>
                <c:pt idx="2">
                  <c:v>14</c:v>
                </c:pt>
                <c:pt idx="3">
                  <c:v>30</c:v>
                </c:pt>
              </c:numCache>
            </c:numRef>
          </c:cat>
          <c:val>
            <c:numRef>
              <c:f>'Trend Tracking'!$B$2:$B$5</c:f>
              <c:numCache>
                <c:formatCode>General</c:formatCode>
                <c:ptCount val="4"/>
                <c:pt idx="0">
                  <c:v>99.5</c:v>
                </c:pt>
                <c:pt idx="1">
                  <c:v>95</c:v>
                </c:pt>
                <c:pt idx="2">
                  <c:v>88</c:v>
                </c:pt>
                <c:pt idx="3">
                  <c:v>82</c:v>
                </c:pt>
              </c:numCache>
            </c:numRef>
          </c:val>
        </c:ser>
        <c:ser>
          <c:idx val="1"/>
          <c:order val="1"/>
          <c:tx>
            <c:v>LK-IMB</c:v>
          </c:tx>
          <c:spPr>
            <a:ln w="28575">
              <a:solidFill>
                <a:srgbClr val="008000"/>
              </a:solidFill>
            </a:ln>
          </c:spPr>
          <c:marker>
            <c:symbol val="circle"/>
          </c:marker>
          <c:cat>
            <c:numRef>
              <c:f>'Trend Tracking'!$A$2:$A$5</c:f>
              <c:numCache>
                <c:formatCode>General</c:formatCode>
                <c:ptCount val="4"/>
                <c:pt idx="0">
                  <c:v>0</c:v>
                </c:pt>
                <c:pt idx="1">
                  <c:v>7</c:v>
                </c:pt>
                <c:pt idx="2">
                  <c:v>14</c:v>
                </c:pt>
                <c:pt idx="3">
                  <c:v>30</c:v>
                </c:pt>
              </c:numCache>
            </c:numRef>
          </c:cat>
          <c:val>
            <c:numRef>
              <c:f>'Trend Tracking'!$D$2:$D$5</c:f>
              <c:numCache>
                <c:formatCode>General</c:formatCode>
                <c:ptCount val="4"/>
                <c:pt idx="0">
                  <c:v>100</c:v>
                </c:pt>
                <c:pt idx="1">
                  <c:v>98.5</c:v>
                </c:pt>
                <c:pt idx="2">
                  <c:v>97.40000000000001</c:v>
                </c:pt>
                <c:pt idx="3">
                  <c:v>96.2</c:v>
                </c:pt>
              </c:numCache>
            </c:numRef>
          </c:val>
        </c:ser>
        <c:marker val="1"/>
        <c:axId val="50010001"/>
        <c:axId val="50010002"/>
      </c:lineChart>
      <c:catAx>
        <c:axId val="50010001"/>
        <c:scaling>
          <c:orientation val="minMax"/>
        </c:scaling>
        <c:axPos val="b"/>
        <c:title>
          <c:tx>
            <c:rich>
              <a:bodyPr/>
              <a:lstStyle/>
              <a:p>
                <a:pPr>
                  <a:defRPr/>
                </a:pPr>
                <a:r>
                  <a:rPr lang="en-US"/>
                  <a:t>Time (Days)</a:t>
                </a:r>
              </a:p>
            </c:rich>
          </c:tx>
          <c:layout/>
        </c:title>
        <c:numFmt formatCode="General" sourceLinked="1"/>
        <c:tickLblPos val="nextTo"/>
        <c:crossAx val="50010002"/>
        <c:crosses val="autoZero"/>
        <c:auto val="1"/>
        <c:lblAlgn val="ctr"/>
        <c:lblOffset val="100"/>
      </c:catAx>
      <c:valAx>
        <c:axId val="50010002"/>
        <c:scaling>
          <c:orientation val="minMax"/>
          <c:max val="105"/>
          <c:min val="80"/>
        </c:scaling>
        <c:axPos val="l"/>
        <c:majorGridlines/>
        <c:title>
          <c:tx>
            <c:rich>
              <a:bodyPr rot="-5400000" vert="horz"/>
              <a:lstStyle/>
              <a:p>
                <a:pPr>
                  <a:defRPr/>
                </a:pPr>
                <a:r>
                  <a:rPr lang="en-US"/>
                  <a:t>Mass Balance (%)</a:t>
                </a:r>
              </a:p>
            </c:rich>
          </c:tx>
          <c:layout/>
        </c:title>
        <c:numFmt formatCode="General" sourceLinked="1"/>
        <c:tickLblPos val="nextTo"/>
        <c:crossAx val="5001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1</xdr:row>
      <xdr:rowOff>0</xdr:rowOff>
    </xdr:from>
    <xdr:to>
      <xdr:col>15</xdr:col>
      <xdr:colOff>228600</xdr:colOff>
      <xdr:row>18</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D15"/>
  <sheetViews>
    <sheetView tabSelected="1" workbookViewId="0"/>
  </sheetViews>
  <sheetFormatPr defaultRowHeight="15"/>
  <cols>
    <col min="1" max="1" width="30.7109375" customWidth="1"/>
    <col min="2" max="2" width="20.7109375" customWidth="1"/>
    <col min="3" max="3" width="5.7109375" customWidth="1"/>
    <col min="4" max="4" width="40.7109375" customWidth="1"/>
  </cols>
  <sheetData>
    <row r="1" spans="1:4">
      <c r="A1" s="1" t="s">
        <v>0</v>
      </c>
      <c r="B1" s="1"/>
    </row>
    <row r="3" spans="1:4">
      <c r="A3" s="2" t="s">
        <v>1</v>
      </c>
      <c r="B3" s="3">
        <v>98</v>
      </c>
      <c r="D3" s="4" t="s">
        <v>14</v>
      </c>
    </row>
    <row r="4" spans="1:4">
      <c r="A4" s="2" t="s">
        <v>2</v>
      </c>
      <c r="B4" s="3">
        <v>82.5</v>
      </c>
      <c r="D4" s="4"/>
    </row>
    <row r="5" spans="1:4">
      <c r="A5" s="2" t="s">
        <v>3</v>
      </c>
      <c r="B5" s="3">
        <v>0.5</v>
      </c>
      <c r="D5" s="4"/>
    </row>
    <row r="6" spans="1:4">
      <c r="A6" s="2" t="s">
        <v>4</v>
      </c>
      <c r="B6" s="3">
        <v>4.9</v>
      </c>
      <c r="D6" s="4"/>
    </row>
    <row r="7" spans="1:4">
      <c r="A7" s="2" t="s">
        <v>5</v>
      </c>
      <c r="B7" s="3">
        <v>500</v>
      </c>
      <c r="D7" s="4"/>
    </row>
    <row r="8" spans="1:4">
      <c r="A8" s="2" t="s">
        <v>6</v>
      </c>
      <c r="B8" s="3">
        <v>250</v>
      </c>
      <c r="D8" s="4"/>
    </row>
    <row r="9" spans="1:4">
      <c r="A9" s="2" t="s">
        <v>7</v>
      </c>
      <c r="B9" s="3">
        <v>0.8</v>
      </c>
      <c r="D9" s="4"/>
    </row>
    <row r="10" spans="1:4">
      <c r="A10" s="2" t="s">
        <v>8</v>
      </c>
      <c r="B10" s="5" t="s">
        <v>9</v>
      </c>
      <c r="D10" s="4"/>
    </row>
    <row r="11" spans="1:4">
      <c r="A11" s="2" t="s">
        <v>10</v>
      </c>
      <c r="B11" s="5" t="s">
        <v>11</v>
      </c>
    </row>
    <row r="12" spans="1:4">
      <c r="A12" s="2" t="s">
        <v>12</v>
      </c>
      <c r="B12" s="5" t="s">
        <v>13</v>
      </c>
    </row>
    <row r="14" spans="1:4">
      <c r="A14" s="6" t="s">
        <v>16</v>
      </c>
      <c r="B14" s="7"/>
    </row>
    <row r="15" spans="1:4">
      <c r="A15" s="7"/>
      <c r="B15" s="7"/>
    </row>
  </sheetData>
  <mergeCells count="3">
    <mergeCell ref="A1:B1"/>
    <mergeCell ref="D3:D10"/>
    <mergeCell ref="A14:B15"/>
  </mergeCells>
  <dataValidations count="1">
    <dataValidation type="list" allowBlank="1" showInputMessage="1" showErrorMessage="1" sqref="B10">
      <formula1>"Acid,Base,Oxidative,Thermal,Photolytic"</formula1>
    </dataValidation>
  </dataValidations>
  <hyperlinks>
    <hyperlink ref="A14" location="'Diagnostic Report'!A1" display="'Diagnostic Report'!A1"/>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B13"/>
  <sheetViews>
    <sheetView workbookViewId="0"/>
  </sheetViews>
  <sheetFormatPr defaultRowHeight="15"/>
  <cols>
    <col min="1" max="2" width="25.7109375" customWidth="1"/>
  </cols>
  <sheetData>
    <row r="1" spans="1:2">
      <c r="A1" s="1" t="s">
        <v>17</v>
      </c>
      <c r="B1" s="1" t="s">
        <v>18</v>
      </c>
    </row>
    <row r="2" spans="1:2">
      <c r="A2" s="2" t="s">
        <v>19</v>
      </c>
      <c r="B2">
        <f>'Data Entry'!B3-'Data Entry'!B4</f>
        <v>0</v>
      </c>
    </row>
    <row r="3" spans="1:2">
      <c r="A3" s="2" t="s">
        <v>20</v>
      </c>
      <c r="B3">
        <f>'Data Entry'!B6-'Data Entry'!B5</f>
        <v>0</v>
      </c>
    </row>
    <row r="4" spans="1:2">
      <c r="A4" s="2" t="s">
        <v>21</v>
      </c>
      <c r="B4">
        <f>IF('Data Entry'!B9="", 1, 1/'Data Entry'!B9)</f>
        <v>0</v>
      </c>
    </row>
    <row r="5" spans="1:2">
      <c r="A5" s="2" t="s">
        <v>22</v>
      </c>
      <c r="B5">
        <f>IF(OR('Data Entry'!B7="", 'Data Entry'!B8=""), 1, 'Data Entry'!B7/'Data Entry'!B8)</f>
        <v>0</v>
      </c>
    </row>
    <row r="6" spans="1:2">
      <c r="A6" s="2" t="s">
        <v>23</v>
      </c>
      <c r="B6">
        <f>'Data Entry'!B6 * B4 * B5</f>
        <v>0</v>
      </c>
    </row>
    <row r="7" spans="1:2">
      <c r="A7" s="2" t="s">
        <v>24</v>
      </c>
      <c r="B7">
        <f>'Data Entry'!B4 + 'Data Entry'!B6</f>
        <v>0</v>
      </c>
    </row>
    <row r="8" spans="1:2">
      <c r="A8" s="2" t="s">
        <v>25</v>
      </c>
      <c r="B8">
        <f>('Data Entry'!B4 + 'Data Entry'!B6)/('Data Entry'!B3 + 'Data Entry'!B5)*100</f>
        <v>0</v>
      </c>
    </row>
    <row r="9" spans="1:2">
      <c r="A9" s="2" t="s">
        <v>26</v>
      </c>
      <c r="B9">
        <f>IF(B2=0, 0, (B3/B2)*100)</f>
        <v>0</v>
      </c>
    </row>
    <row r="10" spans="1:2">
      <c r="A10" s="2" t="s">
        <v>27</v>
      </c>
      <c r="B10">
        <f>('Data Entry'!B4 + B6)/'Data Entry'!B3*100</f>
        <v>0</v>
      </c>
    </row>
    <row r="11" spans="1:2">
      <c r="A11" s="2" t="s">
        <v>28</v>
      </c>
      <c r="B11">
        <f>IF(B2&lt;2, "AMB", IF(B2&gt;20, "LK-IMB", "RMB"))</f>
        <v>0</v>
      </c>
    </row>
    <row r="12" spans="1:2">
      <c r="A12" s="2" t="s">
        <v>29</v>
      </c>
      <c r="B12">
        <f>IF(B11="AMB", B8, IF(B11="LK-IMB", B10, B9))</f>
        <v>0</v>
      </c>
    </row>
    <row r="13" spans="1:2">
      <c r="A13" s="2" t="s">
        <v>30</v>
      </c>
      <c r="B13">
        <f>IF(B12&gt;=95, "PASS", IF(B12&gt;=90, "ALERT", "OOS"))</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B2:E13"/>
  <sheetViews>
    <sheetView showGridLines="0" workbookViewId="0"/>
  </sheetViews>
  <sheetFormatPr defaultRowHeight="15"/>
  <cols>
    <col min="1" max="1" width="5.7109375" customWidth="1"/>
    <col min="2" max="5" width="18.7109375" customWidth="1"/>
  </cols>
  <sheetData>
    <row r="2" spans="2:5">
      <c r="B2" s="1" t="s">
        <v>31</v>
      </c>
      <c r="C2" s="1"/>
      <c r="D2" s="1"/>
      <c r="E2" s="1"/>
    </row>
    <row r="3" spans="2:5">
      <c r="B3" s="1"/>
      <c r="C3" s="1"/>
      <c r="D3" s="1"/>
      <c r="E3" s="1"/>
    </row>
    <row r="4" spans="2:5">
      <c r="B4" s="2" t="s">
        <v>32</v>
      </c>
      <c r="C4" s="8">
        <f>TODAY()</f>
        <v>0</v>
      </c>
      <c r="D4" s="2" t="s">
        <v>33</v>
      </c>
      <c r="E4" s="9">
        <f>'Data Entry'!B11</f>
        <v>0</v>
      </c>
    </row>
    <row r="6" spans="2:5">
      <c r="B6" s="1" t="s">
        <v>34</v>
      </c>
      <c r="C6" s="1" t="s">
        <v>35</v>
      </c>
      <c r="D6" s="1" t="s">
        <v>36</v>
      </c>
    </row>
    <row r="7" spans="2:5">
      <c r="B7" s="10" t="s">
        <v>37</v>
      </c>
      <c r="C7" s="11">
        <f>Calculations!B7</f>
        <v>0</v>
      </c>
      <c r="D7" s="12" t="s">
        <v>38</v>
      </c>
    </row>
    <row r="8" spans="2:5">
      <c r="B8" s="10" t="s">
        <v>39</v>
      </c>
      <c r="C8" s="11">
        <f>Calculations!B8</f>
        <v>0</v>
      </c>
      <c r="D8" s="13" t="s">
        <v>40</v>
      </c>
    </row>
    <row r="9" spans="2:5">
      <c r="B9" s="14" t="s">
        <v>41</v>
      </c>
      <c r="C9" s="15">
        <f>Calculations!B10</f>
        <v>0</v>
      </c>
      <c r="D9" s="16" t="s">
        <v>42</v>
      </c>
    </row>
    <row r="11" spans="2:5">
      <c r="B11" s="1" t="s">
        <v>43</v>
      </c>
      <c r="C11" s="1"/>
      <c r="D11" s="1" t="s">
        <v>44</v>
      </c>
      <c r="E11" s="1"/>
    </row>
    <row r="12" spans="2:5">
      <c r="B12" s="17">
        <f>Calculations!B13</f>
        <v>0</v>
      </c>
      <c r="C12" s="17"/>
      <c r="D12">
        <f>IF(AND(Calculations!B13="OOS", Calculations!B4=1), "FAIL: Suspected Volatile Loss. Rec: Headspace GC.", IF(AND(Calculations!B13="OOS", Calculations!B4&gt;1.2), "FAIL: UV-Silent Impurity. Rec: CAD Detection.", IF(Calculations!B13="PASS", "Mass Balance Compliant per ICH Q1A.", "Investigate: Borderline Result.")))</f>
        <v>0</v>
      </c>
      <c r="E12" s="4"/>
    </row>
    <row r="13" spans="2:5">
      <c r="B13" s="17"/>
      <c r="C13" s="17"/>
      <c r="D13" s="4"/>
      <c r="E13" s="4"/>
    </row>
  </sheetData>
  <mergeCells count="5">
    <mergeCell ref="B2:E3"/>
    <mergeCell ref="B11:C11"/>
    <mergeCell ref="B12:C13"/>
    <mergeCell ref="D11:E11"/>
    <mergeCell ref="D12:E13"/>
  </mergeCells>
  <conditionalFormatting sqref="B12">
    <cfRule type="cellIs" dxfId="0" priority="1" operator="equal">
      <formula>"PASS"</formula>
    </cfRule>
    <cfRule type="cellIs" dxfId="1" priority="2" operator="equal">
      <formula>"ALERT"</formula>
    </cfRule>
    <cfRule type="cellIs" dxfId="2" priority="3" operator="equal">
      <formula>"OOS"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E5"/>
  <sheetViews>
    <sheetView workbookViewId="0"/>
  </sheetViews>
  <sheetFormatPr defaultRowHeight="15"/>
  <cols>
    <col min="1" max="5" width="12.7109375" customWidth="1"/>
  </cols>
  <sheetData>
    <row r="1" spans="1:5">
      <c r="A1" s="1" t="s">
        <v>45</v>
      </c>
      <c r="B1" s="1" t="s">
        <v>46</v>
      </c>
      <c r="C1" s="1" t="s">
        <v>47</v>
      </c>
      <c r="D1" s="1" t="s">
        <v>48</v>
      </c>
      <c r="E1" s="1" t="s">
        <v>30</v>
      </c>
    </row>
    <row r="2" spans="1:5">
      <c r="A2" s="3">
        <v>0</v>
      </c>
      <c r="B2" s="18">
        <v>99.5</v>
      </c>
      <c r="C2" s="18">
        <v>100</v>
      </c>
      <c r="D2" s="18">
        <v>100</v>
      </c>
      <c r="E2" s="18" t="s">
        <v>49</v>
      </c>
    </row>
    <row r="3" spans="1:5">
      <c r="A3" s="3">
        <v>7</v>
      </c>
      <c r="B3" s="18">
        <v>95</v>
      </c>
      <c r="C3" s="18">
        <v>96.2</v>
      </c>
      <c r="D3" s="18">
        <v>98.5</v>
      </c>
      <c r="E3" s="18" t="s">
        <v>49</v>
      </c>
    </row>
    <row r="4" spans="1:5">
      <c r="A4" s="3">
        <v>14</v>
      </c>
      <c r="B4" s="18">
        <v>88</v>
      </c>
      <c r="C4" s="18">
        <v>90.09999999999999</v>
      </c>
      <c r="D4" s="18">
        <v>97.40000000000001</v>
      </c>
      <c r="E4" s="18" t="s">
        <v>49</v>
      </c>
    </row>
    <row r="5" spans="1:5">
      <c r="A5" s="3">
        <v>30</v>
      </c>
      <c r="B5" s="18">
        <v>82</v>
      </c>
      <c r="C5" s="18">
        <v>85.5</v>
      </c>
      <c r="D5" s="18">
        <v>96.2</v>
      </c>
      <c r="E5" s="18" t="s">
        <v>49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Entry</vt:lpstr>
      <vt:lpstr>Calculations</vt:lpstr>
      <vt:lpstr>Diagnostic Report</vt:lpstr>
      <vt:lpstr>Trend Tracking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2026-01-30T17:05:36Z</dcterms:created>
  <dcterms:modified xsi:type="dcterms:W3CDTF">2026-01-30T17:05:36Z</dcterms:modified>
</cp:coreProperties>
</file>